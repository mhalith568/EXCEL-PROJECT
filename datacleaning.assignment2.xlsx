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ATA ANALYST\"/>
    </mc:Choice>
  </mc:AlternateContent>
  <xr:revisionPtr revIDLastSave="0" documentId="13_ncr:1_{E7C8575F-7E5A-4616-83DA-4339461A5343}" xr6:coauthVersionLast="47" xr6:coauthVersionMax="47" xr10:uidLastSave="{00000000-0000-0000-0000-000000000000}"/>
  <bookViews>
    <workbookView xWindow="-120" yWindow="-120" windowWidth="20730" windowHeight="11040" xr2:uid="{1619F805-01D4-4ED0-8C3D-23DB20246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D37" i="1" l="1"/>
</calcChain>
</file>

<file path=xl/sharedStrings.xml><?xml version="1.0" encoding="utf-8"?>
<sst xmlns="http://schemas.openxmlformats.org/spreadsheetml/2006/main" count="227" uniqueCount="129">
  <si>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</si>
  <si>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</si>
  <si>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</si>
  <si>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</si>
  <si>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</si>
  <si>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</si>
  <si>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</si>
  <si>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</si>
  <si>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</si>
  <si>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</si>
  <si>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</si>
  <si>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</si>
  <si>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</si>
  <si>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</si>
  <si>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</si>
  <si>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</si>
  <si>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</si>
  <si>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</si>
  <si>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</si>
  <si>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</si>
  <si>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</si>
  <si>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</si>
  <si>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</si>
  <si>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</si>
  <si>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</si>
  <si>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</si>
  <si>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</si>
  <si>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</si>
  <si>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</si>
  <si>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</si>
  <si>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</si>
  <si>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</si>
  <si>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</si>
  <si>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</si>
  <si>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</si>
  <si>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</si>
  <si>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</si>
  <si>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</si>
  <si>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</si>
  <si>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</si>
  <si>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</si>
  <si>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</si>
  <si>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</si>
  <si>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</si>
  <si>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</si>
  <si>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</si>
  <si>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</si>
  <si>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</si>
  <si>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</si>
  <si>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</si>
  <si>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</si>
  <si>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</si>
  <si>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</si>
  <si>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</si>
  <si>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</si>
  <si>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</si>
  <si>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</si>
  <si>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</si>
  <si>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</si>
  <si>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</si>
  <si>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</si>
  <si>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</si>
  <si>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</si>
  <si>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</si>
  <si>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</si>
  <si>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</si>
  <si>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</si>
  <si>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</si>
  <si>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</si>
  <si>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</si>
  <si>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</si>
  <si>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</si>
  <si>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</si>
  <si>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</si>
  <si>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</si>
  <si>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</si>
  <si>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</si>
  <si>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</si>
  <si>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</si>
  <si>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</si>
  <si>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</si>
  <si>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</si>
  <si>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</si>
  <si>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</si>
  <si>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</si>
  <si>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</si>
  <si>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</si>
  <si>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</si>
  <si>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</si>
  <si>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</si>
  <si>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</si>
  <si>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</si>
  <si>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</si>
  <si>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</si>
  <si>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</si>
  <si>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MISSING VALUE IN PRICE</t>
  </si>
  <si>
    <t>PRICE</t>
  </si>
  <si>
    <t>CATEGORY</t>
  </si>
  <si>
    <t>SMARTPHONE</t>
  </si>
  <si>
    <t>TYPOS IN CATEGORY COLUMN</t>
  </si>
  <si>
    <t>ELECTRONIC</t>
  </si>
  <si>
    <t>MANUFACTURE DATE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</si>
  <si>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</si>
  <si>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</si>
  <si>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</si>
  <si>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</si>
  <si>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</si>
  <si>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</si>
  <si>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</si>
  <si>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</si>
  <si>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</si>
  <si>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</si>
  <si>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</si>
  <si>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</si>
  <si>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</si>
  <si>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</si>
  <si>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</si>
  <si>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</si>
  <si>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</si>
  <si>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</si>
  <si>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</si>
  <si>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</si>
  <si>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</si>
  <si>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</si>
  <si>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</si>
  <si>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</si>
  <si>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</si>
  <si>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PRODUCT BRAND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</si>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</sst>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\-00\-0000"/>
    <numFmt numFmtId="165" formatCode="&quot;$&quot;#,##0.00"/>
    <numFmt numFmtId="166" formatCode="_([$$-409]* #,##0.00_);_([$$-409]* \(#,##0.00\);_([$$-409]* &quot;-&quot;??_);_(@_)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7" fillId="0" borderId="0"/>
  </cellStyleXfs>
  <cellXfs count="22">
    <xf numFmtId="0" fontId="0" fillId="0" borderId="0" xfId="0"/>
    <xf numFmtId="0" fontId="4" fillId="0" borderId="0" xfId="3" applyFont="1"/>
    <xf numFmtId="0" fontId="5" fillId="2" borderId="0" xfId="3" applyFont="1" applyFill="1" applyAlignment="1">
      <alignment horizontal="center"/>
    </xf>
    <xf numFmtId="0" fontId="4" fillId="3" borderId="0" xfId="3" applyFont="1" applyFill="1"/>
    <xf numFmtId="0" fontId="2" fillId="4" borderId="1" xfId="0" applyFont="1" applyFill="1" applyBorder="1"/>
    <xf numFmtId="0" fontId="0" fillId="0" borderId="1" xfId="0" applyBorder="1"/>
    <xf numFmtId="0" fontId="6" fillId="3" borderId="0" xfId="3" applyFont="1" applyFill="1"/>
    <xf numFmtId="0" fontId="6" fillId="0" borderId="0" xfId="3" applyFont="1"/>
    <xf numFmtId="49" fontId="0" fillId="0" borderId="0" xfId="0" applyNumberFormat="1"/>
    <xf numFmtId="49" fontId="4" fillId="0" borderId="0" xfId="3" applyNumberFormat="1" applyFont="1"/>
    <xf numFmtId="49" fontId="4" fillId="3" borderId="0" xfId="3" applyNumberFormat="1" applyFont="1" applyFill="1"/>
    <xf numFmtId="0" fontId="6" fillId="0" borderId="0" xfId="4" applyFont="1"/>
    <xf numFmtId="0" fontId="8" fillId="2" borderId="0" xfId="4" applyFont="1" applyFill="1" applyAlignment="1">
      <alignment horizontal="center"/>
    </xf>
    <xf numFmtId="0" fontId="6" fillId="3" borderId="0" xfId="4" applyFont="1" applyFill="1"/>
    <xf numFmtId="49" fontId="6" fillId="0" borderId="0" xfId="4" applyNumberFormat="1" applyFont="1"/>
    <xf numFmtId="49" fontId="6" fillId="3" borderId="0" xfId="4" applyNumberFormat="1" applyFont="1" applyFill="1"/>
    <xf numFmtId="164" fontId="0" fillId="0" borderId="0" xfId="0" applyNumberFormat="1"/>
    <xf numFmtId="166" fontId="2" fillId="4" borderId="1" xfId="2" applyNumberFormat="1" applyFont="1" applyFill="1" applyBorder="1"/>
    <xf numFmtId="165" fontId="0" fillId="0" borderId="1" xfId="0" applyNumberFormat="1" applyBorder="1"/>
    <xf numFmtId="167" fontId="6" fillId="0" borderId="0" xfId="4" applyNumberFormat="1" applyFont="1"/>
    <xf numFmtId="43" fontId="8" fillId="2" borderId="0" xfId="1" applyFont="1" applyFill="1" applyAlignment="1">
      <alignment horizontal="center"/>
    </xf>
    <xf numFmtId="14" fontId="6" fillId="0" borderId="0" xfId="4" applyNumberFormat="1" applyFont="1"/>
  </cellXfs>
  <cellStyles count="5">
    <cellStyle name="Comma" xfId="1" builtinId="3"/>
    <cellStyle name="Currency" xfId="2" builtinId="4"/>
    <cellStyle name="Normal" xfId="0" builtinId="0"/>
    <cellStyle name="Normal 2" xfId="3" xr:uid="{AC4A9E68-EA81-44F3-81B4-D51F473C20D2}"/>
    <cellStyle name="Normal 3" xfId="4" xr:uid="{DB7E9E5D-CEE4-43CF-B53F-4C7160CE947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C25F-BD37-427B-A432-2EABE6009876}">
  <dimension ref="A1:N79"/>
  <sheetViews>
    <sheetView tabSelected="1" topLeftCell="A34" workbookViewId="0">
      <selection activeCell="A47" sqref="A47"/>
    </sheetView>
  </sheetViews>
  <sheetFormatPr defaultRowHeight="15" x14ac:dyDescent="0.25"/>
  <cols>
    <col min="1" max="1" width="19.140625" style="16" customWidth="1"/>
    <col min="2" max="2" width="17.7109375" style="16" customWidth="1"/>
    <col min="3" max="3" width="14.7109375" style="16" customWidth="1"/>
    <col min="4" max="4" width="11.140625" style="16" bestFit="1" customWidth="1"/>
    <col min="5" max="5" width="15.7109375" style="16" customWidth="1"/>
    <col min="6" max="6" width="12.5703125" style="16" customWidth="1"/>
    <col min="7" max="7" width="9.140625" style="16"/>
    <col min="8" max="8" width="10.5703125" style="16" bestFit="1" customWidth="1"/>
    <col min="9" max="9" width="9.140625" style="16"/>
    <col min="10" max="10" width="12.7109375" style="16" customWidth="1"/>
    <col min="12" max="12" width="28.570312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/>
      <c r="H1" s="17" t="s">
        <v>96</v>
      </c>
      <c r="I1" s="8"/>
      <c r="J1" s="4" t="s">
        <v>97</v>
      </c>
      <c r="K1" s="8"/>
      <c r="L1" s="4" t="s">
        <v>127</v>
      </c>
      <c r="M1" s="8"/>
      <c r="N1" s="8"/>
    </row>
    <row r="2" spans="1:14" x14ac:dyDescent="0.25">
      <c r="A2" s="1" t="s">
        <v>6</v>
      </c>
      <c r="B2" s="1" t="s">
        <v>7</v>
      </c>
      <c r="C2" s="1" t="s">
        <v>8</v>
      </c>
      <c r="D2" s="1">
        <v>1000</v>
      </c>
      <c r="E2" s="1">
        <v>30</v>
      </c>
      <c r="F2" s="1" t="s">
        <v>9</v>
      </c>
      <c r="G2" s="8"/>
      <c r="H2" s="18">
        <f>IF(ISBLANK(D2),AVERAGE($D$2:$D$35),D2)</f>
        <v>1000</v>
      </c>
      <c r="I2" s="8"/>
      <c r="J2" s="5" t="str">
        <f>IF(ISBLANK(F2),"UNSPECIFIED",F2)</f>
        <v>Electronics</v>
      </c>
      <c r="K2" s="8"/>
      <c r="L2" s="5" t="str">
        <f>CONCATENATE(B2," ",C2)</f>
        <v>laptop Dell</v>
      </c>
      <c r="M2" s="8"/>
      <c r="N2" s="8"/>
    </row>
    <row r="3" spans="1:14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8"/>
      <c r="H3" s="18">
        <f t="shared" ref="H3:H32" si="0">IF(ISBLANK(D3),AVERAGE($D$2:$D$35),D3)</f>
        <v>80</v>
      </c>
      <c r="I3" s="8"/>
      <c r="J3" s="5" t="str">
        <f t="shared" ref="J3:J32" si="1">IF(ISBLANK(F3),"UNSPECIFIED",F3)</f>
        <v>Fashion</v>
      </c>
      <c r="K3" s="8"/>
      <c r="L3" s="5" t="str">
        <f t="shared" ref="L3:L32" si="2">CONCATENATE(B3," ",C3)</f>
        <v>Sneakers Nike</v>
      </c>
      <c r="M3" s="8"/>
      <c r="N3" s="8"/>
    </row>
    <row r="4" spans="1:14" x14ac:dyDescent="0.25">
      <c r="A4" s="1" t="s">
        <v>14</v>
      </c>
      <c r="B4" s="1" t="s">
        <v>15</v>
      </c>
      <c r="C4" s="1" t="s">
        <v>16</v>
      </c>
      <c r="D4" s="1">
        <v>130</v>
      </c>
      <c r="E4" s="1">
        <v>40</v>
      </c>
      <c r="F4" s="1" t="s">
        <v>17</v>
      </c>
      <c r="G4" s="8"/>
      <c r="H4" s="18">
        <f t="shared" si="0"/>
        <v>130</v>
      </c>
      <c r="I4" s="8"/>
      <c r="J4" s="5" t="str">
        <f t="shared" si="1"/>
        <v>Kitchen</v>
      </c>
      <c r="K4" s="8"/>
      <c r="L4" s="5" t="str">
        <f t="shared" si="2"/>
        <v>Coffee Maker Keurig</v>
      </c>
      <c r="M4" s="8"/>
      <c r="N4" s="8"/>
    </row>
    <row r="5" spans="1:14" x14ac:dyDescent="0.25">
      <c r="A5" s="3" t="s">
        <v>18</v>
      </c>
      <c r="B5" s="3" t="s">
        <v>98</v>
      </c>
      <c r="C5" s="3" t="s">
        <v>19</v>
      </c>
      <c r="D5" s="3">
        <v>900</v>
      </c>
      <c r="E5" s="3">
        <v>25</v>
      </c>
      <c r="F5" s="3" t="s">
        <v>9</v>
      </c>
      <c r="G5" s="8"/>
      <c r="H5" s="18">
        <f t="shared" si="0"/>
        <v>900</v>
      </c>
      <c r="I5" s="8"/>
      <c r="J5" s="5" t="str">
        <f t="shared" si="1"/>
        <v>Electronics</v>
      </c>
      <c r="K5" s="8"/>
      <c r="L5" s="5" t="str">
        <f t="shared" si="2"/>
        <v>SMARTPHONE Samsung</v>
      </c>
      <c r="M5" s="8"/>
      <c r="N5" s="8"/>
    </row>
    <row r="6" spans="1:14" x14ac:dyDescent="0.25">
      <c r="A6" s="1" t="s">
        <v>20</v>
      </c>
      <c r="B6" s="1" t="s">
        <v>21</v>
      </c>
      <c r="C6" s="1" t="s">
        <v>22</v>
      </c>
      <c r="D6" s="1">
        <v>70</v>
      </c>
      <c r="E6" s="1">
        <v>20</v>
      </c>
      <c r="F6" s="9"/>
      <c r="G6" s="8"/>
      <c r="H6" s="18">
        <f t="shared" si="0"/>
        <v>70</v>
      </c>
      <c r="I6" s="8"/>
      <c r="J6" s="5" t="str">
        <f t="shared" si="1"/>
        <v>UNSPECIFIED</v>
      </c>
      <c r="K6" s="8"/>
      <c r="L6" s="5" t="str">
        <f t="shared" si="2"/>
        <v>Backpack North Face</v>
      </c>
      <c r="M6" s="8"/>
      <c r="N6" s="8"/>
    </row>
    <row r="7" spans="1:14" x14ac:dyDescent="0.25">
      <c r="A7" s="3" t="s">
        <v>23</v>
      </c>
      <c r="B7" s="3" t="s">
        <v>24</v>
      </c>
      <c r="C7" s="3" t="s">
        <v>25</v>
      </c>
      <c r="D7" s="10"/>
      <c r="E7" s="3">
        <v>45</v>
      </c>
      <c r="F7" s="6" t="s">
        <v>9</v>
      </c>
      <c r="G7" s="8"/>
      <c r="H7" s="18">
        <f t="shared" si="0"/>
        <v>297.85714285714283</v>
      </c>
      <c r="I7" s="8"/>
      <c r="J7" s="5" t="str">
        <f t="shared" si="1"/>
        <v>Electronics</v>
      </c>
      <c r="K7" s="8"/>
      <c r="L7" s="5" t="str">
        <f t="shared" si="2"/>
        <v>Headphones Sony</v>
      </c>
      <c r="M7" s="8"/>
      <c r="N7" s="8"/>
    </row>
    <row r="8" spans="1:14" x14ac:dyDescent="0.25">
      <c r="A8" s="1" t="s">
        <v>27</v>
      </c>
      <c r="B8" s="1" t="s">
        <v>28</v>
      </c>
      <c r="C8" s="1" t="s">
        <v>29</v>
      </c>
      <c r="D8" s="1">
        <v>30</v>
      </c>
      <c r="E8" s="1">
        <v>5</v>
      </c>
      <c r="F8" s="1" t="s">
        <v>13</v>
      </c>
      <c r="G8" s="8"/>
      <c r="H8" s="18">
        <f t="shared" si="0"/>
        <v>30</v>
      </c>
      <c r="I8" s="8"/>
      <c r="J8" s="5" t="str">
        <f t="shared" si="1"/>
        <v>Fashion</v>
      </c>
      <c r="K8" s="8"/>
      <c r="L8" s="5" t="str">
        <f t="shared" si="2"/>
        <v>T-shirt Adidas</v>
      </c>
      <c r="M8" s="8"/>
      <c r="N8" s="8"/>
    </row>
    <row r="9" spans="1:14" x14ac:dyDescent="0.25">
      <c r="A9" s="3" t="s">
        <v>30</v>
      </c>
      <c r="B9" s="3" t="s">
        <v>31</v>
      </c>
      <c r="C9" s="3" t="s">
        <v>32</v>
      </c>
      <c r="D9" s="3">
        <v>90</v>
      </c>
      <c r="E9" s="3">
        <v>35</v>
      </c>
      <c r="F9" s="3" t="s">
        <v>17</v>
      </c>
      <c r="G9" s="8"/>
      <c r="H9" s="18">
        <f t="shared" si="0"/>
        <v>90</v>
      </c>
      <c r="I9" s="8"/>
      <c r="J9" s="5" t="str">
        <f t="shared" si="1"/>
        <v>Kitchen</v>
      </c>
      <c r="K9" s="8"/>
      <c r="L9" s="5" t="str">
        <f t="shared" si="2"/>
        <v>Blender Ninja</v>
      </c>
      <c r="M9" s="8"/>
      <c r="N9" s="8"/>
    </row>
    <row r="10" spans="1:14" x14ac:dyDescent="0.25">
      <c r="A10" s="1" t="s">
        <v>33</v>
      </c>
      <c r="B10" s="1" t="s">
        <v>34</v>
      </c>
      <c r="C10" s="1" t="s">
        <v>35</v>
      </c>
      <c r="D10" s="1">
        <v>500</v>
      </c>
      <c r="E10" s="1">
        <v>50</v>
      </c>
      <c r="F10" s="1" t="s">
        <v>9</v>
      </c>
      <c r="G10" s="8"/>
      <c r="H10" s="18">
        <f t="shared" si="0"/>
        <v>500</v>
      </c>
      <c r="I10" s="8"/>
      <c r="J10" s="5" t="str">
        <f t="shared" si="1"/>
        <v>Electronics</v>
      </c>
      <c r="K10" s="8"/>
      <c r="L10" s="5" t="str">
        <f t="shared" si="2"/>
        <v>Tablet Apple</v>
      </c>
      <c r="M10" s="8"/>
      <c r="N10" s="8"/>
    </row>
    <row r="11" spans="1:14" x14ac:dyDescent="0.25">
      <c r="A11" s="3" t="s">
        <v>36</v>
      </c>
      <c r="B11" s="3" t="s">
        <v>37</v>
      </c>
      <c r="C11" s="3" t="s">
        <v>38</v>
      </c>
      <c r="D11" s="3">
        <v>130</v>
      </c>
      <c r="E11" s="3">
        <v>10</v>
      </c>
      <c r="F11" s="3" t="s">
        <v>39</v>
      </c>
      <c r="G11" s="8"/>
      <c r="H11" s="18">
        <f t="shared" si="0"/>
        <v>130</v>
      </c>
      <c r="I11" s="8"/>
      <c r="J11" s="5" t="str">
        <f t="shared" si="1"/>
        <v>Outdoor</v>
      </c>
      <c r="K11" s="8"/>
      <c r="L11" s="5" t="str">
        <f t="shared" si="2"/>
        <v>Hiking Boots Timberland</v>
      </c>
      <c r="M11" s="8"/>
      <c r="N11" s="8"/>
    </row>
    <row r="12" spans="1:14" x14ac:dyDescent="0.25">
      <c r="A12" s="1" t="s">
        <v>40</v>
      </c>
      <c r="B12" s="1" t="s">
        <v>41</v>
      </c>
      <c r="C12" s="1" t="s">
        <v>42</v>
      </c>
      <c r="D12" s="1">
        <v>950</v>
      </c>
      <c r="E12" s="1">
        <v>25</v>
      </c>
      <c r="F12" s="1" t="s">
        <v>9</v>
      </c>
      <c r="G12" s="8"/>
      <c r="H12" s="18">
        <f t="shared" si="0"/>
        <v>950</v>
      </c>
      <c r="I12" s="8"/>
      <c r="J12" s="5" t="str">
        <f t="shared" si="1"/>
        <v>Electronics</v>
      </c>
      <c r="K12" s="8"/>
      <c r="L12" s="5" t="str">
        <f t="shared" si="2"/>
        <v>Laptop HP</v>
      </c>
      <c r="M12" s="8"/>
      <c r="N12" s="8"/>
    </row>
    <row r="13" spans="1:14" x14ac:dyDescent="0.25">
      <c r="A13" s="3" t="s">
        <v>43</v>
      </c>
      <c r="B13" s="3" t="s">
        <v>11</v>
      </c>
      <c r="C13" s="3" t="s">
        <v>29</v>
      </c>
      <c r="D13" s="3">
        <v>90</v>
      </c>
      <c r="E13" s="3">
        <v>40</v>
      </c>
      <c r="F13" s="10"/>
      <c r="G13" s="8"/>
      <c r="H13" s="18">
        <f t="shared" si="0"/>
        <v>90</v>
      </c>
      <c r="I13" s="8"/>
      <c r="J13" s="5" t="str">
        <f t="shared" si="1"/>
        <v>UNSPECIFIED</v>
      </c>
      <c r="K13" s="8"/>
      <c r="L13" s="5" t="str">
        <f t="shared" si="2"/>
        <v>Sneakers Adidas</v>
      </c>
      <c r="M13" s="8"/>
      <c r="N13" s="8"/>
    </row>
    <row r="14" spans="1:14" x14ac:dyDescent="0.25">
      <c r="A14" s="1" t="s">
        <v>44</v>
      </c>
      <c r="B14" s="1" t="s">
        <v>15</v>
      </c>
      <c r="C14" s="1" t="s">
        <v>45</v>
      </c>
      <c r="D14" s="1">
        <v>120</v>
      </c>
      <c r="E14" s="1">
        <v>35</v>
      </c>
      <c r="F14" s="9"/>
      <c r="G14" s="8"/>
      <c r="H14" s="18">
        <f t="shared" si="0"/>
        <v>120</v>
      </c>
      <c r="I14" s="8"/>
      <c r="J14" s="5" t="str">
        <f t="shared" si="1"/>
        <v>UNSPECIFIED</v>
      </c>
      <c r="K14" s="8"/>
      <c r="L14" s="5" t="str">
        <f t="shared" si="2"/>
        <v>Coffee Maker Nespresso</v>
      </c>
      <c r="M14" s="8"/>
      <c r="N14" s="8"/>
    </row>
    <row r="15" spans="1:14" x14ac:dyDescent="0.25">
      <c r="A15" s="3" t="s">
        <v>46</v>
      </c>
      <c r="B15" s="3" t="s">
        <v>47</v>
      </c>
      <c r="C15" s="3" t="s">
        <v>48</v>
      </c>
      <c r="D15" s="3">
        <v>150</v>
      </c>
      <c r="E15" s="3">
        <v>15</v>
      </c>
      <c r="F15" s="6" t="s">
        <v>9</v>
      </c>
      <c r="G15" s="8"/>
      <c r="H15" s="18">
        <f t="shared" si="0"/>
        <v>150</v>
      </c>
      <c r="I15" s="8"/>
      <c r="J15" s="5" t="str">
        <f t="shared" si="1"/>
        <v>Electronics</v>
      </c>
      <c r="K15" s="8"/>
      <c r="L15" s="5" t="str">
        <f t="shared" si="2"/>
        <v>Smartwatch Fitbit</v>
      </c>
      <c r="M15" s="8"/>
      <c r="N15" s="8"/>
    </row>
    <row r="16" spans="1:14" x14ac:dyDescent="0.25">
      <c r="A16" s="1" t="s">
        <v>49</v>
      </c>
      <c r="B16" s="1" t="s">
        <v>50</v>
      </c>
      <c r="C16" s="1" t="s">
        <v>51</v>
      </c>
      <c r="D16" s="1">
        <v>250</v>
      </c>
      <c r="E16" s="1">
        <v>20</v>
      </c>
      <c r="F16" s="7" t="s">
        <v>9</v>
      </c>
      <c r="G16" s="8"/>
      <c r="H16" s="18">
        <f t="shared" si="0"/>
        <v>250</v>
      </c>
      <c r="I16" s="8"/>
      <c r="J16" s="5" t="str">
        <f t="shared" si="1"/>
        <v>Electronics</v>
      </c>
      <c r="K16" s="8"/>
      <c r="L16" s="5" t="str">
        <f t="shared" si="2"/>
        <v>headphones Bose</v>
      </c>
      <c r="M16" s="8"/>
      <c r="N16" s="8"/>
    </row>
    <row r="17" spans="1:14" x14ac:dyDescent="0.25">
      <c r="A17" s="3" t="s">
        <v>52</v>
      </c>
      <c r="B17" s="3" t="s">
        <v>53</v>
      </c>
      <c r="C17" s="3" t="s">
        <v>54</v>
      </c>
      <c r="D17" s="3">
        <v>50</v>
      </c>
      <c r="E17" s="3">
        <v>35</v>
      </c>
      <c r="F17" s="3" t="s">
        <v>55</v>
      </c>
      <c r="G17" s="8"/>
      <c r="H17" s="18">
        <f t="shared" si="0"/>
        <v>50</v>
      </c>
      <c r="I17" s="8"/>
      <c r="J17" s="5" t="str">
        <f t="shared" si="1"/>
        <v>Accessories</v>
      </c>
      <c r="K17" s="8"/>
      <c r="L17" s="5" t="str">
        <f t="shared" si="2"/>
        <v>Laptop Bag Samsonite</v>
      </c>
      <c r="M17" s="8"/>
      <c r="N17" s="8"/>
    </row>
    <row r="18" spans="1:14" x14ac:dyDescent="0.25">
      <c r="A18" s="1" t="s">
        <v>56</v>
      </c>
      <c r="B18" s="1" t="s">
        <v>47</v>
      </c>
      <c r="C18" s="1" t="s">
        <v>57</v>
      </c>
      <c r="D18" s="1">
        <v>160</v>
      </c>
      <c r="E18" s="1">
        <v>15</v>
      </c>
      <c r="F18" s="7" t="s">
        <v>9</v>
      </c>
      <c r="G18" s="8"/>
      <c r="H18" s="18">
        <f t="shared" si="0"/>
        <v>160</v>
      </c>
      <c r="I18" s="8"/>
      <c r="J18" s="5" t="str">
        <f t="shared" si="1"/>
        <v>Electronics</v>
      </c>
      <c r="K18" s="8"/>
      <c r="L18" s="5" t="str">
        <f t="shared" si="2"/>
        <v>Smartwatch Huawei</v>
      </c>
      <c r="M18" s="8"/>
      <c r="N18" s="8"/>
    </row>
    <row r="19" spans="1:14" x14ac:dyDescent="0.25">
      <c r="A19" s="3" t="s">
        <v>58</v>
      </c>
      <c r="B19" s="3" t="s">
        <v>7</v>
      </c>
      <c r="C19" s="3" t="s">
        <v>59</v>
      </c>
      <c r="D19" s="3">
        <v>980</v>
      </c>
      <c r="E19" s="3">
        <v>10</v>
      </c>
      <c r="F19" s="3" t="s">
        <v>9</v>
      </c>
      <c r="G19" s="8"/>
      <c r="H19" s="18">
        <f t="shared" si="0"/>
        <v>980</v>
      </c>
      <c r="I19" s="8"/>
      <c r="J19" s="5" t="str">
        <f t="shared" si="1"/>
        <v>Electronics</v>
      </c>
      <c r="K19" s="8"/>
      <c r="L19" s="5" t="str">
        <f t="shared" si="2"/>
        <v>laptop Asus</v>
      </c>
      <c r="M19" s="8"/>
      <c r="N19" s="8"/>
    </row>
    <row r="20" spans="1:14" x14ac:dyDescent="0.25">
      <c r="A20" s="1" t="s">
        <v>60</v>
      </c>
      <c r="B20" s="1" t="s">
        <v>61</v>
      </c>
      <c r="C20" s="1" t="s">
        <v>62</v>
      </c>
      <c r="D20" s="1">
        <v>150</v>
      </c>
      <c r="E20" s="1">
        <v>15</v>
      </c>
      <c r="F20" s="1" t="s">
        <v>13</v>
      </c>
      <c r="G20" s="8"/>
      <c r="H20" s="18">
        <f t="shared" si="0"/>
        <v>150</v>
      </c>
      <c r="I20" s="8"/>
      <c r="J20" s="5" t="str">
        <f t="shared" si="1"/>
        <v>Fashion</v>
      </c>
      <c r="K20" s="8"/>
      <c r="L20" s="5" t="str">
        <f t="shared" si="2"/>
        <v>Sunglasses Oakley</v>
      </c>
      <c r="M20" s="8"/>
      <c r="N20" s="8"/>
    </row>
    <row r="21" spans="1:14" x14ac:dyDescent="0.25">
      <c r="A21" s="3" t="s">
        <v>63</v>
      </c>
      <c r="B21" s="3" t="s">
        <v>64</v>
      </c>
      <c r="C21" s="3" t="s">
        <v>65</v>
      </c>
      <c r="D21" s="10"/>
      <c r="E21" s="3">
        <v>10</v>
      </c>
      <c r="F21" s="3" t="s">
        <v>39</v>
      </c>
      <c r="G21" s="8"/>
      <c r="H21" s="18">
        <f t="shared" si="0"/>
        <v>297.85714285714283</v>
      </c>
      <c r="I21" s="8"/>
      <c r="J21" s="5" t="str">
        <f t="shared" si="1"/>
        <v>Outdoor</v>
      </c>
      <c r="K21" s="8"/>
      <c r="L21" s="5" t="str">
        <f t="shared" si="2"/>
        <v>Camping Tent Coleman</v>
      </c>
      <c r="M21" s="8"/>
      <c r="N21" s="8"/>
    </row>
    <row r="22" spans="1:14" x14ac:dyDescent="0.25">
      <c r="A22" s="1" t="s">
        <v>66</v>
      </c>
      <c r="B22" s="1" t="s">
        <v>67</v>
      </c>
      <c r="C22" s="1" t="s">
        <v>68</v>
      </c>
      <c r="D22" s="1">
        <v>700</v>
      </c>
      <c r="E22" s="1">
        <v>50</v>
      </c>
      <c r="F22" s="1" t="s">
        <v>9</v>
      </c>
      <c r="G22" s="8"/>
      <c r="H22" s="18">
        <f t="shared" si="0"/>
        <v>700</v>
      </c>
      <c r="I22" s="8"/>
      <c r="J22" s="5" t="str">
        <f t="shared" si="1"/>
        <v>Electronics</v>
      </c>
      <c r="K22" s="8"/>
      <c r="L22" s="5" t="str">
        <f t="shared" si="2"/>
        <v>Camera Nikon</v>
      </c>
      <c r="M22" s="8"/>
      <c r="N22" s="8"/>
    </row>
    <row r="23" spans="1:14" x14ac:dyDescent="0.25">
      <c r="A23" s="3" t="s">
        <v>69</v>
      </c>
      <c r="B23" s="3" t="s">
        <v>70</v>
      </c>
      <c r="C23" s="3" t="s">
        <v>71</v>
      </c>
      <c r="D23" s="3">
        <v>80</v>
      </c>
      <c r="E23" s="3">
        <v>20</v>
      </c>
      <c r="F23" s="3" t="s">
        <v>17</v>
      </c>
      <c r="G23" s="8"/>
      <c r="H23" s="18">
        <f t="shared" si="0"/>
        <v>80</v>
      </c>
      <c r="I23" s="8"/>
      <c r="J23" s="5" t="str">
        <f t="shared" si="1"/>
        <v>Kitchen</v>
      </c>
      <c r="K23" s="8"/>
      <c r="L23" s="5" t="str">
        <f t="shared" si="2"/>
        <v>Microwave Panasonic</v>
      </c>
      <c r="M23" s="8"/>
      <c r="N23" s="8"/>
    </row>
    <row r="24" spans="1:14" x14ac:dyDescent="0.25">
      <c r="A24" s="1" t="s">
        <v>72</v>
      </c>
      <c r="B24" s="1" t="s">
        <v>73</v>
      </c>
      <c r="C24" s="1" t="s">
        <v>74</v>
      </c>
      <c r="D24" s="1">
        <v>150</v>
      </c>
      <c r="E24" s="1">
        <v>30</v>
      </c>
      <c r="F24" s="9"/>
      <c r="G24" s="8"/>
      <c r="H24" s="18">
        <f t="shared" si="0"/>
        <v>150</v>
      </c>
      <c r="I24" s="8"/>
      <c r="J24" s="5" t="str">
        <f t="shared" si="1"/>
        <v>UNSPECIFIED</v>
      </c>
      <c r="K24" s="8"/>
      <c r="L24" s="5" t="str">
        <f t="shared" si="2"/>
        <v>Fitness Tracker Xiaomi</v>
      </c>
      <c r="M24" s="8"/>
      <c r="N24" s="8"/>
    </row>
    <row r="25" spans="1:14" x14ac:dyDescent="0.25">
      <c r="A25" s="1" t="s">
        <v>75</v>
      </c>
      <c r="B25" s="1" t="s">
        <v>98</v>
      </c>
      <c r="C25" s="1" t="s">
        <v>76</v>
      </c>
      <c r="D25" s="1">
        <v>800</v>
      </c>
      <c r="E25" s="1">
        <v>45</v>
      </c>
      <c r="F25" s="1" t="s">
        <v>9</v>
      </c>
      <c r="G25" s="8"/>
      <c r="H25" s="18">
        <f t="shared" si="0"/>
        <v>800</v>
      </c>
      <c r="I25" s="8"/>
      <c r="J25" s="5" t="str">
        <f t="shared" si="1"/>
        <v>Electronics</v>
      </c>
      <c r="K25" s="8"/>
      <c r="L25" s="5" t="str">
        <f t="shared" si="2"/>
        <v>SMARTPHONE Google</v>
      </c>
      <c r="M25" s="8"/>
      <c r="N25" s="8"/>
    </row>
    <row r="26" spans="1:14" x14ac:dyDescent="0.25">
      <c r="A26" s="3" t="s">
        <v>77</v>
      </c>
      <c r="B26" s="3" t="s">
        <v>61</v>
      </c>
      <c r="C26" s="3" t="s">
        <v>78</v>
      </c>
      <c r="D26" s="10"/>
      <c r="E26" s="3">
        <v>25</v>
      </c>
      <c r="F26" s="3" t="s">
        <v>13</v>
      </c>
      <c r="G26" s="8"/>
      <c r="H26" s="18">
        <f t="shared" si="0"/>
        <v>297.85714285714283</v>
      </c>
      <c r="I26" s="8"/>
      <c r="J26" s="5" t="str">
        <f t="shared" si="1"/>
        <v>Fashion</v>
      </c>
      <c r="K26" s="8"/>
      <c r="L26" s="5" t="str">
        <f t="shared" si="2"/>
        <v>Sunglasses Ray-Ban</v>
      </c>
      <c r="M26" s="8"/>
      <c r="N26" s="8"/>
    </row>
    <row r="27" spans="1:14" x14ac:dyDescent="0.25">
      <c r="A27" s="1" t="s">
        <v>79</v>
      </c>
      <c r="B27" s="1" t="s">
        <v>31</v>
      </c>
      <c r="C27" s="1" t="s">
        <v>80</v>
      </c>
      <c r="D27" s="1">
        <v>400</v>
      </c>
      <c r="E27" s="1">
        <v>40</v>
      </c>
      <c r="F27" s="1" t="s">
        <v>17</v>
      </c>
      <c r="G27" s="8"/>
      <c r="H27" s="18">
        <f t="shared" si="0"/>
        <v>400</v>
      </c>
      <c r="I27" s="8"/>
      <c r="J27" s="5" t="str">
        <f t="shared" si="1"/>
        <v>Kitchen</v>
      </c>
      <c r="K27" s="8"/>
      <c r="L27" s="5" t="str">
        <f t="shared" si="2"/>
        <v>Blender Vitamix</v>
      </c>
      <c r="M27" s="8"/>
      <c r="N27" s="8"/>
    </row>
    <row r="28" spans="1:14" x14ac:dyDescent="0.25">
      <c r="A28" s="1" t="s">
        <v>81</v>
      </c>
      <c r="B28" s="1" t="s">
        <v>82</v>
      </c>
      <c r="C28" s="1" t="s">
        <v>83</v>
      </c>
      <c r="D28" s="1">
        <v>60</v>
      </c>
      <c r="E28" s="1">
        <v>30</v>
      </c>
      <c r="F28" s="1" t="s">
        <v>13</v>
      </c>
      <c r="G28" s="8"/>
      <c r="H28" s="18">
        <f t="shared" si="0"/>
        <v>60</v>
      </c>
      <c r="I28" s="8"/>
      <c r="J28" s="5" t="str">
        <f t="shared" si="1"/>
        <v>Fashion</v>
      </c>
      <c r="K28" s="8"/>
      <c r="L28" s="5" t="str">
        <f t="shared" si="2"/>
        <v>Dress Zara</v>
      </c>
      <c r="M28" s="8"/>
      <c r="N28" s="8"/>
    </row>
    <row r="29" spans="1:14" x14ac:dyDescent="0.25">
      <c r="A29" s="3" t="s">
        <v>84</v>
      </c>
      <c r="B29" s="3" t="s">
        <v>85</v>
      </c>
      <c r="C29" s="3" t="s">
        <v>86</v>
      </c>
      <c r="D29" s="3">
        <v>40</v>
      </c>
      <c r="E29" s="3">
        <v>10</v>
      </c>
      <c r="F29" s="3" t="s">
        <v>17</v>
      </c>
      <c r="G29" s="8"/>
      <c r="H29" s="18">
        <f t="shared" si="0"/>
        <v>40</v>
      </c>
      <c r="I29" s="8"/>
      <c r="J29" s="5" t="str">
        <f t="shared" si="1"/>
        <v>Kitchen</v>
      </c>
      <c r="K29" s="8"/>
      <c r="L29" s="5" t="str">
        <f t="shared" si="2"/>
        <v>Toaster Hamilton</v>
      </c>
      <c r="M29" s="8"/>
      <c r="N29" s="8"/>
    </row>
    <row r="30" spans="1:14" x14ac:dyDescent="0.25">
      <c r="A30" s="1" t="s">
        <v>87</v>
      </c>
      <c r="B30" s="1" t="s">
        <v>73</v>
      </c>
      <c r="C30" s="1" t="s">
        <v>88</v>
      </c>
      <c r="D30" s="1">
        <v>130</v>
      </c>
      <c r="E30" s="1">
        <v>5</v>
      </c>
      <c r="F30" s="1" t="s">
        <v>9</v>
      </c>
      <c r="G30" s="8"/>
      <c r="H30" s="18">
        <f t="shared" si="0"/>
        <v>130</v>
      </c>
      <c r="I30" s="8"/>
      <c r="J30" s="5" t="str">
        <f t="shared" si="1"/>
        <v>Electronics</v>
      </c>
      <c r="K30" s="8"/>
      <c r="L30" s="5" t="str">
        <f t="shared" si="2"/>
        <v>Fitness Tracker Garmin</v>
      </c>
      <c r="M30" s="8"/>
      <c r="N30" s="8"/>
    </row>
    <row r="31" spans="1:14" x14ac:dyDescent="0.25">
      <c r="A31" s="3" t="s">
        <v>89</v>
      </c>
      <c r="B31" s="3" t="s">
        <v>90</v>
      </c>
      <c r="C31" s="3" t="s">
        <v>91</v>
      </c>
      <c r="D31" s="3">
        <v>50</v>
      </c>
      <c r="E31" s="3">
        <v>50</v>
      </c>
      <c r="F31" s="3" t="s">
        <v>13</v>
      </c>
      <c r="G31" s="8"/>
      <c r="H31" s="18">
        <f t="shared" si="0"/>
        <v>50</v>
      </c>
      <c r="I31" s="8"/>
      <c r="J31" s="5" t="str">
        <f t="shared" si="1"/>
        <v>Fashion</v>
      </c>
      <c r="K31" s="8"/>
      <c r="L31" s="5" t="str">
        <f t="shared" si="2"/>
        <v>Jeans Levi's</v>
      </c>
      <c r="M31" s="8"/>
      <c r="N31" s="8"/>
    </row>
    <row r="32" spans="1:14" x14ac:dyDescent="0.25">
      <c r="A32" s="3" t="s">
        <v>92</v>
      </c>
      <c r="B32" s="3" t="s">
        <v>93</v>
      </c>
      <c r="C32" s="3" t="s">
        <v>94</v>
      </c>
      <c r="D32" s="3">
        <v>100</v>
      </c>
      <c r="E32" s="3">
        <v>20</v>
      </c>
      <c r="F32" s="3" t="s">
        <v>55</v>
      </c>
      <c r="G32" s="8"/>
      <c r="H32" s="18">
        <f t="shared" si="0"/>
        <v>100</v>
      </c>
      <c r="I32" s="8"/>
      <c r="J32" s="5" t="str">
        <f t="shared" si="1"/>
        <v>Accessories</v>
      </c>
      <c r="K32" s="8"/>
      <c r="L32" s="5" t="str">
        <f t="shared" si="2"/>
        <v>Watch Casio</v>
      </c>
      <c r="M32" s="8"/>
      <c r="N32" s="8"/>
    </row>
    <row r="33" spans="1:14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4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 x14ac:dyDescent="0.25">
      <c r="A37" s="8"/>
      <c r="B37" t="s">
        <v>95</v>
      </c>
      <c r="C37" s="8"/>
      <c r="D37">
        <f>COUNTBLANK(D2:D35)</f>
        <v>6</v>
      </c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x14ac:dyDescent="0.25">
      <c r="A40" s="8"/>
      <c r="B40" t="s">
        <v>99</v>
      </c>
      <c r="C40" s="8"/>
      <c r="D40" t="s">
        <v>100</v>
      </c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ht="32.2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 x14ac:dyDescent="0.25">
      <c r="A45" s="20" t="s">
        <v>101</v>
      </c>
      <c r="B45" s="12" t="s">
        <v>128</v>
      </c>
      <c r="C45" s="12" t="s">
        <v>126</v>
      </c>
      <c r="D45" s="12" t="s">
        <v>3</v>
      </c>
      <c r="E45" s="12" t="s">
        <v>4</v>
      </c>
      <c r="F45" s="12" t="s">
        <v>5</v>
      </c>
      <c r="G45" s="8"/>
      <c r="H45" s="8"/>
      <c r="I45" s="8"/>
      <c r="J45" s="8"/>
      <c r="K45" s="8"/>
      <c r="L45" s="8"/>
      <c r="M45" s="8"/>
      <c r="N45" s="8"/>
    </row>
    <row r="46" spans="1:14" x14ac:dyDescent="0.25">
      <c r="A46" s="19">
        <v>28</v>
      </c>
      <c r="B46" s="11" t="s">
        <v>102</v>
      </c>
      <c r="C46" s="11" t="s">
        <v>103</v>
      </c>
      <c r="D46" s="11">
        <v>1000</v>
      </c>
      <c r="E46" s="11">
        <v>30</v>
      </c>
      <c r="F46" s="11" t="s">
        <v>9</v>
      </c>
      <c r="G46" s="8"/>
      <c r="H46" s="8"/>
      <c r="I46" s="8"/>
      <c r="J46" s="8"/>
      <c r="K46" s="8"/>
      <c r="L46" s="8"/>
      <c r="M46" s="8"/>
      <c r="N46" s="8"/>
    </row>
    <row r="47" spans="1:14" x14ac:dyDescent="0.25">
      <c r="A47" s="21">
        <v>29</v>
      </c>
      <c r="B47" s="13" t="s">
        <v>104</v>
      </c>
      <c r="C47" s="13" t="s">
        <v>103</v>
      </c>
      <c r="D47" s="13">
        <v>80</v>
      </c>
      <c r="E47" s="13">
        <v>15</v>
      </c>
      <c r="F47" s="13" t="s">
        <v>13</v>
      </c>
      <c r="G47" s="8"/>
      <c r="H47" s="8"/>
      <c r="I47" s="8"/>
      <c r="J47" s="8"/>
      <c r="K47" s="8"/>
      <c r="L47" s="8"/>
      <c r="M47" s="8"/>
      <c r="N47" s="8"/>
    </row>
    <row r="48" spans="1:14" x14ac:dyDescent="0.25">
      <c r="A48" s="19">
        <v>30</v>
      </c>
      <c r="B48" s="11" t="s">
        <v>105</v>
      </c>
      <c r="C48" s="11" t="s">
        <v>103</v>
      </c>
      <c r="D48" s="11">
        <v>130</v>
      </c>
      <c r="E48" s="11">
        <v>40</v>
      </c>
      <c r="F48" s="11" t="s">
        <v>17</v>
      </c>
      <c r="G48" s="8"/>
      <c r="H48" s="8"/>
      <c r="I48" s="8"/>
      <c r="J48" s="8"/>
      <c r="K48" s="8"/>
      <c r="L48" s="8"/>
      <c r="M48" s="8"/>
      <c r="N48" s="8"/>
    </row>
    <row r="49" spans="1:14" x14ac:dyDescent="0.25">
      <c r="A49" s="19">
        <v>31</v>
      </c>
      <c r="B49" s="13" t="s">
        <v>106</v>
      </c>
      <c r="C49" s="13" t="s">
        <v>103</v>
      </c>
      <c r="D49" s="13">
        <v>900</v>
      </c>
      <c r="E49" s="13">
        <v>25</v>
      </c>
      <c r="F49" s="13" t="s">
        <v>9</v>
      </c>
      <c r="G49" s="8"/>
      <c r="H49" s="8"/>
      <c r="I49" s="8"/>
      <c r="J49" s="8"/>
      <c r="K49" s="8"/>
      <c r="L49" s="8"/>
      <c r="M49" s="8"/>
      <c r="N49" s="8"/>
    </row>
    <row r="50" spans="1:14" x14ac:dyDescent="0.25">
      <c r="A50" s="19">
        <v>32</v>
      </c>
      <c r="B50" s="11" t="s">
        <v>107</v>
      </c>
      <c r="C50" s="11" t="s">
        <v>103</v>
      </c>
      <c r="D50" s="11">
        <v>70</v>
      </c>
      <c r="E50" s="11">
        <v>20</v>
      </c>
      <c r="F50" s="14"/>
      <c r="G50" s="8"/>
      <c r="H50" s="8"/>
      <c r="I50" s="8"/>
      <c r="J50" s="8"/>
      <c r="K50" s="8"/>
      <c r="L50" s="8"/>
      <c r="M50" s="8"/>
      <c r="N50" s="8"/>
    </row>
    <row r="51" spans="1:14" x14ac:dyDescent="0.25">
      <c r="A51" s="19">
        <v>33</v>
      </c>
      <c r="B51" s="13" t="s">
        <v>108</v>
      </c>
      <c r="C51" s="13" t="s">
        <v>109</v>
      </c>
      <c r="D51" s="15"/>
      <c r="E51" s="13">
        <v>45</v>
      </c>
      <c r="F51" s="13" t="s">
        <v>26</v>
      </c>
      <c r="G51" s="8"/>
      <c r="H51" s="8"/>
      <c r="I51" s="8"/>
      <c r="J51" s="8"/>
      <c r="K51" s="8"/>
      <c r="L51" s="8"/>
      <c r="M51" s="8"/>
      <c r="N51" s="8"/>
    </row>
    <row r="52" spans="1:14" x14ac:dyDescent="0.25">
      <c r="A52" s="19">
        <v>34</v>
      </c>
      <c r="B52" s="11" t="s">
        <v>110</v>
      </c>
      <c r="C52" s="11" t="s">
        <v>109</v>
      </c>
      <c r="D52" s="11">
        <v>30</v>
      </c>
      <c r="E52" s="11">
        <v>5</v>
      </c>
      <c r="F52" s="11" t="s">
        <v>13</v>
      </c>
      <c r="G52" s="8"/>
      <c r="H52" s="8"/>
      <c r="I52" s="8"/>
      <c r="J52" s="8"/>
      <c r="K52" s="8"/>
      <c r="L52" s="8"/>
      <c r="M52" s="8"/>
      <c r="N52" s="8"/>
    </row>
    <row r="53" spans="1:14" x14ac:dyDescent="0.25">
      <c r="A53" s="19">
        <v>35</v>
      </c>
      <c r="B53" s="13" t="s">
        <v>111</v>
      </c>
      <c r="C53" s="13" t="s">
        <v>109</v>
      </c>
      <c r="D53" s="13">
        <v>90</v>
      </c>
      <c r="E53" s="13">
        <v>35</v>
      </c>
      <c r="F53" s="13" t="s">
        <v>17</v>
      </c>
      <c r="G53" s="8"/>
      <c r="H53" s="8"/>
      <c r="I53" s="8"/>
      <c r="J53" s="8"/>
      <c r="K53" s="8"/>
      <c r="L53" s="8"/>
      <c r="M53" s="8"/>
      <c r="N53" s="8"/>
    </row>
    <row r="54" spans="1:14" x14ac:dyDescent="0.25">
      <c r="A54" s="19">
        <v>36</v>
      </c>
      <c r="B54" s="11" t="s">
        <v>112</v>
      </c>
      <c r="C54" s="11" t="s">
        <v>109</v>
      </c>
      <c r="D54" s="11">
        <v>500</v>
      </c>
      <c r="E54" s="11">
        <v>50</v>
      </c>
      <c r="F54" s="11" t="s">
        <v>9</v>
      </c>
      <c r="G54" s="8"/>
      <c r="H54" s="8"/>
      <c r="I54" s="8"/>
      <c r="J54" s="8"/>
      <c r="K54" s="8"/>
      <c r="L54" s="8"/>
      <c r="M54" s="8"/>
      <c r="N54" s="8"/>
    </row>
    <row r="55" spans="1:14" x14ac:dyDescent="0.25">
      <c r="A55" s="19">
        <v>37</v>
      </c>
      <c r="B55" s="13" t="s">
        <v>113</v>
      </c>
      <c r="C55" s="13" t="s">
        <v>109</v>
      </c>
      <c r="D55" s="13">
        <v>130</v>
      </c>
      <c r="E55" s="13">
        <v>10</v>
      </c>
      <c r="F55" s="13" t="s">
        <v>39</v>
      </c>
      <c r="G55" s="8"/>
      <c r="H55" s="8"/>
      <c r="I55" s="8"/>
      <c r="J55" s="8"/>
      <c r="K55" s="8"/>
      <c r="L55" s="8"/>
      <c r="M55" s="8"/>
      <c r="N55" s="8"/>
    </row>
    <row r="56" spans="1:14" x14ac:dyDescent="0.25">
      <c r="A56" s="19">
        <v>38</v>
      </c>
      <c r="B56" s="11" t="s">
        <v>108</v>
      </c>
      <c r="C56" s="11" t="s">
        <v>114</v>
      </c>
      <c r="D56" s="11">
        <v>950</v>
      </c>
      <c r="E56" s="11">
        <v>25</v>
      </c>
      <c r="F56" s="11" t="s">
        <v>9</v>
      </c>
      <c r="G56" s="8"/>
      <c r="H56" s="8"/>
      <c r="I56" s="8"/>
      <c r="J56" s="8"/>
      <c r="K56" s="8"/>
      <c r="L56" s="8"/>
      <c r="M56" s="8"/>
      <c r="N56" s="8"/>
    </row>
    <row r="57" spans="1:14" x14ac:dyDescent="0.25">
      <c r="A57" s="19">
        <v>39</v>
      </c>
      <c r="B57" s="13" t="s">
        <v>115</v>
      </c>
      <c r="C57" s="13" t="s">
        <v>116</v>
      </c>
      <c r="D57" s="13">
        <v>90</v>
      </c>
      <c r="E57" s="13">
        <v>40</v>
      </c>
      <c r="F57" s="15"/>
      <c r="G57" s="8"/>
      <c r="H57" s="8"/>
      <c r="I57" s="8"/>
      <c r="J57" s="8"/>
      <c r="K57" s="8"/>
      <c r="L57" s="8"/>
      <c r="M57" s="8"/>
      <c r="N57" s="8"/>
    </row>
    <row r="58" spans="1:14" x14ac:dyDescent="0.25">
      <c r="A58" s="19">
        <v>40</v>
      </c>
      <c r="B58" s="11" t="s">
        <v>117</v>
      </c>
      <c r="C58" s="11" t="s">
        <v>118</v>
      </c>
      <c r="D58" s="11">
        <v>120</v>
      </c>
      <c r="E58" s="11">
        <v>35</v>
      </c>
      <c r="F58" s="14"/>
      <c r="G58" s="8"/>
      <c r="H58" s="8"/>
      <c r="I58" s="8"/>
      <c r="J58" s="8"/>
      <c r="K58" s="8"/>
      <c r="L58" s="8"/>
      <c r="M58" s="8"/>
      <c r="N58" s="8"/>
    </row>
    <row r="59" spans="1:14" x14ac:dyDescent="0.25">
      <c r="A59" s="19">
        <v>41</v>
      </c>
      <c r="B59" s="13" t="s">
        <v>104</v>
      </c>
      <c r="C59" s="13" t="s">
        <v>119</v>
      </c>
      <c r="D59" s="13">
        <v>150</v>
      </c>
      <c r="E59" s="13">
        <v>15</v>
      </c>
      <c r="F59" s="13" t="s">
        <v>26</v>
      </c>
      <c r="G59" s="8"/>
      <c r="H59" s="8"/>
      <c r="I59" s="8"/>
      <c r="J59" s="8"/>
      <c r="K59" s="8"/>
      <c r="L59" s="8"/>
      <c r="M59" s="8"/>
      <c r="N59" s="8"/>
    </row>
    <row r="60" spans="1:14" x14ac:dyDescent="0.25">
      <c r="A60" s="19">
        <v>42</v>
      </c>
      <c r="B60" s="11" t="s">
        <v>106</v>
      </c>
      <c r="C60" s="11" t="s">
        <v>120</v>
      </c>
      <c r="D60" s="11">
        <v>250</v>
      </c>
      <c r="E60" s="11">
        <v>20</v>
      </c>
      <c r="F60" s="11" t="s">
        <v>26</v>
      </c>
      <c r="G60" s="8"/>
      <c r="H60" s="8"/>
      <c r="I60" s="8"/>
      <c r="J60" s="8"/>
      <c r="K60" s="8"/>
      <c r="L60" s="8"/>
      <c r="M60" s="8"/>
      <c r="N60" s="8"/>
    </row>
    <row r="61" spans="1:14" x14ac:dyDescent="0.25">
      <c r="A61" s="19">
        <v>43</v>
      </c>
      <c r="B61" s="13" t="s">
        <v>111</v>
      </c>
      <c r="C61" s="13" t="s">
        <v>119</v>
      </c>
      <c r="D61" s="13">
        <v>50</v>
      </c>
      <c r="E61" s="13">
        <v>35</v>
      </c>
      <c r="F61" s="13" t="s">
        <v>55</v>
      </c>
      <c r="G61" s="8"/>
      <c r="H61" s="8"/>
      <c r="I61" s="8"/>
      <c r="J61" s="8"/>
      <c r="K61" s="8"/>
      <c r="L61" s="8"/>
      <c r="M61" s="8"/>
      <c r="N61" s="8"/>
    </row>
    <row r="62" spans="1:14" x14ac:dyDescent="0.25">
      <c r="A62" s="19">
        <v>44</v>
      </c>
      <c r="B62" s="11" t="s">
        <v>111</v>
      </c>
      <c r="C62" s="11" t="s">
        <v>121</v>
      </c>
      <c r="D62" s="11">
        <v>160</v>
      </c>
      <c r="E62" s="11">
        <v>15</v>
      </c>
      <c r="F62" s="11" t="s">
        <v>26</v>
      </c>
      <c r="G62" s="8"/>
      <c r="H62" s="8"/>
      <c r="I62" s="8"/>
      <c r="J62" s="8"/>
      <c r="K62" s="8"/>
      <c r="L62" s="8"/>
      <c r="M62" s="8"/>
      <c r="N62" s="8"/>
    </row>
    <row r="63" spans="1:14" x14ac:dyDescent="0.25">
      <c r="A63" s="19">
        <v>45</v>
      </c>
      <c r="B63" s="13" t="s">
        <v>102</v>
      </c>
      <c r="C63" s="13" t="s">
        <v>122</v>
      </c>
      <c r="D63" s="13">
        <v>980</v>
      </c>
      <c r="E63" s="13">
        <v>10</v>
      </c>
      <c r="F63" s="13" t="s">
        <v>9</v>
      </c>
      <c r="G63" s="8"/>
      <c r="H63" s="8"/>
      <c r="I63" s="8"/>
      <c r="J63" s="8"/>
      <c r="K63" s="8"/>
      <c r="L63" s="8"/>
      <c r="M63" s="8"/>
      <c r="N63" s="8"/>
    </row>
    <row r="64" spans="1:14" x14ac:dyDescent="0.25">
      <c r="A64" s="19">
        <v>46</v>
      </c>
      <c r="B64" s="11" t="s">
        <v>105</v>
      </c>
      <c r="C64" s="11" t="s">
        <v>109</v>
      </c>
      <c r="D64" s="11">
        <v>150</v>
      </c>
      <c r="E64" s="11">
        <v>15</v>
      </c>
      <c r="F64" s="11" t="s">
        <v>13</v>
      </c>
      <c r="G64" s="8"/>
      <c r="H64" s="8"/>
      <c r="I64" s="8"/>
      <c r="J64" s="8"/>
      <c r="K64" s="8"/>
      <c r="L64" s="8"/>
      <c r="M64" s="8"/>
      <c r="N64" s="8"/>
    </row>
    <row r="65" spans="1:14" x14ac:dyDescent="0.25">
      <c r="A65" s="19">
        <v>47</v>
      </c>
      <c r="B65" s="13" t="s">
        <v>111</v>
      </c>
      <c r="C65" s="13" t="s">
        <v>103</v>
      </c>
      <c r="D65" s="15"/>
      <c r="E65" s="13">
        <v>10</v>
      </c>
      <c r="F65" s="13" t="s">
        <v>39</v>
      </c>
      <c r="G65" s="8"/>
      <c r="H65" s="8"/>
      <c r="I65" s="8"/>
      <c r="J65" s="8"/>
      <c r="K65" s="8"/>
      <c r="L65" s="8"/>
      <c r="M65" s="8"/>
      <c r="N65" s="8"/>
    </row>
    <row r="66" spans="1:14" x14ac:dyDescent="0.25">
      <c r="A66" s="19">
        <v>48</v>
      </c>
      <c r="B66" s="11" t="s">
        <v>107</v>
      </c>
      <c r="C66" s="11" t="s">
        <v>123</v>
      </c>
      <c r="D66" s="11">
        <v>700</v>
      </c>
      <c r="E66" s="11">
        <v>50</v>
      </c>
      <c r="F66" s="11" t="s">
        <v>9</v>
      </c>
      <c r="G66" s="8"/>
      <c r="H66" s="8"/>
      <c r="I66" s="8"/>
      <c r="J66" s="8"/>
      <c r="K66" s="8"/>
      <c r="L66" s="8"/>
      <c r="M66" s="8"/>
      <c r="N66" s="8"/>
    </row>
    <row r="67" spans="1:14" x14ac:dyDescent="0.25">
      <c r="A67" s="19">
        <v>49</v>
      </c>
      <c r="B67" s="13" t="s">
        <v>102</v>
      </c>
      <c r="C67" s="13" t="s">
        <v>119</v>
      </c>
      <c r="D67" s="13">
        <v>80</v>
      </c>
      <c r="E67" s="13">
        <v>20</v>
      </c>
      <c r="F67" s="13" t="s">
        <v>17</v>
      </c>
      <c r="G67" s="8"/>
      <c r="H67" s="8"/>
      <c r="I67" s="8"/>
      <c r="J67" s="8"/>
      <c r="K67" s="8"/>
      <c r="L67" s="8"/>
      <c r="M67" s="8"/>
      <c r="N67" s="8"/>
    </row>
    <row r="68" spans="1:14" x14ac:dyDescent="0.25">
      <c r="A68" s="19">
        <v>50</v>
      </c>
      <c r="B68" s="11" t="s">
        <v>110</v>
      </c>
      <c r="C68" s="11" t="s">
        <v>124</v>
      </c>
      <c r="D68" s="11">
        <v>150</v>
      </c>
      <c r="E68" s="11">
        <v>30</v>
      </c>
      <c r="F68" s="14"/>
      <c r="G68" s="8"/>
      <c r="H68" s="8"/>
      <c r="I68" s="8"/>
      <c r="J68" s="8"/>
      <c r="K68" s="8"/>
      <c r="L68" s="8"/>
      <c r="M68" s="8"/>
      <c r="N68" s="8"/>
    </row>
    <row r="69" spans="1:14" x14ac:dyDescent="0.25">
      <c r="A69" s="19">
        <v>51</v>
      </c>
      <c r="B69" s="11" t="s">
        <v>112</v>
      </c>
      <c r="C69" s="11" t="s">
        <v>119</v>
      </c>
      <c r="D69" s="11">
        <v>800</v>
      </c>
      <c r="E69" s="11">
        <v>45</v>
      </c>
      <c r="F69" s="11" t="s">
        <v>9</v>
      </c>
      <c r="G69" s="8"/>
      <c r="H69" s="8"/>
      <c r="I69" s="8"/>
      <c r="J69" s="8"/>
      <c r="K69" s="8"/>
      <c r="L69" s="8"/>
      <c r="M69" s="8"/>
      <c r="N69" s="8"/>
    </row>
    <row r="70" spans="1:14" x14ac:dyDescent="0.25">
      <c r="A70" s="19">
        <v>52</v>
      </c>
      <c r="B70" s="13" t="s">
        <v>108</v>
      </c>
      <c r="C70" s="13" t="s">
        <v>119</v>
      </c>
      <c r="D70" s="15"/>
      <c r="E70" s="13">
        <v>25</v>
      </c>
      <c r="F70" s="13" t="s">
        <v>13</v>
      </c>
      <c r="G70" s="8"/>
      <c r="H70" s="8"/>
      <c r="I70" s="8"/>
      <c r="J70" s="8"/>
      <c r="K70" s="8"/>
      <c r="L70" s="8"/>
      <c r="M70" s="8"/>
      <c r="N70" s="8"/>
    </row>
    <row r="71" spans="1:14" x14ac:dyDescent="0.25">
      <c r="A71" s="19">
        <v>53</v>
      </c>
      <c r="B71" s="11" t="s">
        <v>110</v>
      </c>
      <c r="C71" s="11" t="s">
        <v>119</v>
      </c>
      <c r="D71" s="11">
        <v>400</v>
      </c>
      <c r="E71" s="11">
        <v>40</v>
      </c>
      <c r="F71" s="11" t="s">
        <v>17</v>
      </c>
      <c r="G71" s="8"/>
      <c r="H71" s="8"/>
      <c r="I71" s="8"/>
      <c r="J71" s="8"/>
      <c r="K71" s="8"/>
      <c r="L71" s="8"/>
      <c r="M71" s="8"/>
      <c r="N71" s="8"/>
    </row>
    <row r="72" spans="1:14" x14ac:dyDescent="0.25">
      <c r="A72" s="19">
        <v>54</v>
      </c>
      <c r="B72" s="11" t="s">
        <v>105</v>
      </c>
      <c r="C72" s="11" t="s">
        <v>119</v>
      </c>
      <c r="D72" s="11">
        <v>60</v>
      </c>
      <c r="E72" s="11">
        <v>30</v>
      </c>
      <c r="F72" s="11" t="s">
        <v>13</v>
      </c>
      <c r="G72" s="8"/>
      <c r="H72" s="8"/>
      <c r="I72" s="8"/>
      <c r="J72" s="8"/>
      <c r="K72" s="8"/>
      <c r="L72" s="8"/>
      <c r="M72" s="8"/>
      <c r="N72" s="8"/>
    </row>
    <row r="73" spans="1:14" x14ac:dyDescent="0.25">
      <c r="A73" s="19">
        <v>55</v>
      </c>
      <c r="B73" s="13" t="s">
        <v>106</v>
      </c>
      <c r="C73" s="13" t="s">
        <v>119</v>
      </c>
      <c r="D73" s="13">
        <v>40</v>
      </c>
      <c r="E73" s="13">
        <v>10</v>
      </c>
      <c r="F73" s="13" t="s">
        <v>17</v>
      </c>
      <c r="G73" s="8"/>
      <c r="H73" s="8"/>
      <c r="I73" s="8"/>
      <c r="J73" s="8"/>
      <c r="K73" s="8"/>
      <c r="L73" s="8"/>
      <c r="M73" s="8"/>
      <c r="N73" s="8"/>
    </row>
    <row r="74" spans="1:14" x14ac:dyDescent="0.25">
      <c r="A74" s="19">
        <v>56</v>
      </c>
      <c r="B74" s="11" t="s">
        <v>107</v>
      </c>
      <c r="C74" s="11" t="s">
        <v>119</v>
      </c>
      <c r="D74" s="11">
        <v>130</v>
      </c>
      <c r="E74" s="11">
        <v>5</v>
      </c>
      <c r="F74" s="11" t="s">
        <v>9</v>
      </c>
      <c r="G74" s="8"/>
      <c r="H74" s="8"/>
      <c r="I74" s="8"/>
      <c r="J74" s="8"/>
      <c r="K74" s="8"/>
      <c r="L74" s="8"/>
      <c r="M74" s="8"/>
      <c r="N74" s="8"/>
    </row>
    <row r="75" spans="1:14" x14ac:dyDescent="0.25">
      <c r="A75" s="19">
        <v>57</v>
      </c>
      <c r="B75" s="13" t="s">
        <v>117</v>
      </c>
      <c r="C75" s="13" t="s">
        <v>119</v>
      </c>
      <c r="D75" s="13">
        <v>50</v>
      </c>
      <c r="E75" s="13">
        <v>50</v>
      </c>
      <c r="F75" s="13" t="s">
        <v>13</v>
      </c>
      <c r="G75" s="8"/>
      <c r="H75" s="8"/>
      <c r="I75" s="8"/>
      <c r="J75" s="8"/>
      <c r="K75" s="8"/>
      <c r="L75" s="8"/>
      <c r="M75" s="8"/>
      <c r="N75" s="8"/>
    </row>
    <row r="76" spans="1:14" x14ac:dyDescent="0.25">
      <c r="A76" s="19">
        <v>58</v>
      </c>
      <c r="B76" s="13" t="s">
        <v>110</v>
      </c>
      <c r="C76" s="13" t="s">
        <v>125</v>
      </c>
      <c r="D76" s="13">
        <v>100</v>
      </c>
      <c r="E76" s="13">
        <v>20</v>
      </c>
      <c r="F76" s="13" t="s">
        <v>55</v>
      </c>
      <c r="G76" s="8"/>
      <c r="H76" s="8"/>
      <c r="I76" s="8"/>
      <c r="J76" s="8"/>
      <c r="K76" s="8"/>
      <c r="L76" s="8"/>
      <c r="M76" s="8"/>
      <c r="N76" s="8"/>
    </row>
    <row r="77" spans="1:14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x14ac:dyDescent="0.25">
      <c r="A78" s="8"/>
      <c r="B78" s="8"/>
      <c r="C78" s="8"/>
      <c r="D78" s="8"/>
      <c r="E78" s="8"/>
      <c r="F78" s="8"/>
      <c r="G78" s="8"/>
      <c r="I78" s="8"/>
      <c r="J78" s="8"/>
      <c r="K78" s="8"/>
      <c r="L78" s="8"/>
      <c r="M78" s="8"/>
      <c r="N78" s="8"/>
    </row>
    <row r="79" spans="1:14" x14ac:dyDescent="0.25">
      <c r="A79" s="8"/>
      <c r="B79" s="8"/>
      <c r="C79" s="8"/>
      <c r="D79" s="8"/>
      <c r="E79" s="8"/>
      <c r="F79" s="8"/>
      <c r="G79" s="8"/>
      <c r="I79" s="8"/>
      <c r="J79" s="8"/>
      <c r="K79" s="8"/>
      <c r="L79" s="8"/>
      <c r="M79" s="8"/>
      <c r="N79" s="8"/>
    </row>
  </sheetData>
  <conditionalFormatting sqref="H1:H32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:J32">
    <cfRule type="containsText" dxfId="0" priority="1" operator="containsText" text="ELECTRONICS">
      <formula>NOT(ISERROR(SEARCH("ELECTRONICS",J1)))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Halith</dc:creator>
  <cp:lastModifiedBy>Mohamed Halith</cp:lastModifiedBy>
  <dcterms:created xsi:type="dcterms:W3CDTF">2025-07-21T05:15:16Z</dcterms:created>
  <dcterms:modified xsi:type="dcterms:W3CDTF">2025-08-07T16:28:48Z</dcterms:modified>
</cp:coreProperties>
</file>